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Tiers" sheetId="2" state="visible" r:id="rId2"/>
    <sheet name="Provider Sensitivity" sheetId="3" state="visible" r:id="rId3"/>
    <sheet name="Customer Scena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000000"/>
    <numFmt numFmtId="165" formatCode="$#,##0.00"/>
    <numFmt numFmtId="166" formatCode="$#,##0.0000"/>
    <numFmt numFmtId="167" formatCode="0.0%"/>
    <numFmt numFmtId="168" formatCode="0.0&quot;x&quot;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808080"/>
    </font>
    <font>
      <b val="1"/>
    </font>
    <font>
      <b val="1"/>
      <color rgb="001F3864"/>
      <sz val="13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1" fontId="0" fillId="3" borderId="1" pivotButton="0" quotePrefix="0" xfId="0"/>
    <xf numFmtId="3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166" fontId="0" fillId="4" borderId="0" pivotButton="0" quotePrefix="0" xfId="0"/>
    <xf numFmtId="0" fontId="4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166" fontId="0" fillId="3" borderId="1" pivotButton="0" quotePrefix="0" xfId="0"/>
    <xf numFmtId="165" fontId="0" fillId="4" borderId="1" pivotButton="0" quotePrefix="0" xfId="0"/>
    <xf numFmtId="167" fontId="0" fillId="4" borderId="1" pivotButton="0" quotePrefix="0" xfId="0"/>
    <xf numFmtId="166" fontId="0" fillId="4" borderId="1" pivotButton="0" quotePrefix="0" xfId="0"/>
    <xf numFmtId="168" fontId="0" fillId="4" borderId="1" pivotButton="0" quotePrefix="0" xfId="0"/>
    <xf numFmtId="3" fontId="0" fillId="0" borderId="1" pivotButton="0" quotePrefix="0" xfId="0"/>
    <xf numFmtId="3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52" customWidth="1" min="3" max="3"/>
  </cols>
  <sheetData>
    <row r="1">
      <c r="A1" s="1" t="inlineStr">
        <is>
          <t>INBOX-AGENT PRICING MODEL — ASSUMPTIONS</t>
        </is>
      </c>
    </row>
    <row r="2">
      <c r="A2" s="2" t="inlineStr">
        <is>
          <t>Yellow = editable input. Change these; every other sheet recalcs.</t>
        </is>
      </c>
    </row>
    <row r="4">
      <c r="A4" s="3" t="inlineStr">
        <is>
          <t>AI calls per email</t>
        </is>
      </c>
      <c r="B4" s="4" t="n"/>
      <c r="C4" s="4" t="n"/>
    </row>
    <row r="5">
      <c r="A5" t="inlineStr">
        <is>
          <t>calls_per_email</t>
        </is>
      </c>
      <c r="B5" s="5" t="n">
        <v>2</v>
      </c>
      <c r="C5" s="2" t="inlineStr">
        <is>
          <t>Classifier + extractor (set to 1 if classifier is a heuristic)</t>
        </is>
      </c>
    </row>
    <row r="6">
      <c r="A6" s="3" t="inlineStr">
        <is>
          <t>Token sizes (per email, summed across calls)</t>
        </is>
      </c>
      <c r="B6" s="4" t="n"/>
      <c r="C6" s="4" t="n"/>
    </row>
    <row r="7">
      <c r="A7" t="inlineStr">
        <is>
          <t>tok_cached_in</t>
        </is>
      </c>
      <c r="B7" s="6" t="n">
        <v>1500</v>
      </c>
      <c r="C7" s="2" t="inlineStr">
        <is>
          <t>System prompt, served from cache after 1st call</t>
        </is>
      </c>
    </row>
    <row r="8">
      <c r="A8" t="inlineStr">
        <is>
          <t>tok_fresh_in</t>
        </is>
      </c>
      <c r="B8" s="6" t="n">
        <v>1200</v>
      </c>
      <c r="C8" s="2" t="inlineStr">
        <is>
          <t>Email body (HTML-stripped) + classifier hint</t>
        </is>
      </c>
    </row>
    <row r="9">
      <c r="A9" t="inlineStr">
        <is>
          <t>tok_output</t>
        </is>
      </c>
      <c r="B9" s="6" t="n">
        <v>250</v>
      </c>
      <c r="C9" s="2" t="inlineStr">
        <is>
          <t>Structured JSON result</t>
        </is>
      </c>
    </row>
    <row r="10">
      <c r="A10" s="3" t="inlineStr">
        <is>
          <t>Claude (claude-sonnet-4-6) rates  $/token</t>
        </is>
      </c>
      <c r="B10" s="4" t="n"/>
      <c r="C10" s="4" t="n"/>
    </row>
    <row r="11">
      <c r="A11" t="inlineStr">
        <is>
          <t>rate_cache_read</t>
        </is>
      </c>
      <c r="B11" s="7" t="n">
        <v>3e-07</v>
      </c>
      <c r="C11" s="2" t="inlineStr">
        <is>
          <t>$0.30 / M tokens</t>
        </is>
      </c>
    </row>
    <row r="12">
      <c r="A12" t="inlineStr">
        <is>
          <t>rate_input</t>
        </is>
      </c>
      <c r="B12" s="7" t="n">
        <v>3e-06</v>
      </c>
      <c r="C12" s="2" t="inlineStr">
        <is>
          <t>$3.00 / M tokens</t>
        </is>
      </c>
    </row>
    <row r="13">
      <c r="A13" t="inlineStr">
        <is>
          <t>rate_output</t>
        </is>
      </c>
      <c r="B13" s="7" t="n">
        <v>1.5e-05</v>
      </c>
      <c r="C13" s="2" t="inlineStr">
        <is>
          <t>$15.00 / M tokens</t>
        </is>
      </c>
    </row>
    <row r="14">
      <c r="A14" s="3" t="inlineStr">
        <is>
          <t>Gemini (gemini-2.0-flash) rates  $/token</t>
        </is>
      </c>
      <c r="B14" s="4" t="n"/>
      <c r="C14" s="4" t="n"/>
    </row>
    <row r="15">
      <c r="A15" t="inlineStr">
        <is>
          <t>g_rate_input</t>
        </is>
      </c>
      <c r="B15" s="7" t="n">
        <v>1e-07</v>
      </c>
      <c r="C15" s="2" t="inlineStr">
        <is>
          <t>$0.10 / M tokens</t>
        </is>
      </c>
    </row>
    <row r="16">
      <c r="A16" t="inlineStr">
        <is>
          <t>g_rate_output</t>
        </is>
      </c>
      <c r="B16" s="7" t="n">
        <v>4e-07</v>
      </c>
      <c r="C16" s="2" t="inlineStr">
        <is>
          <t>$0.40 / M tokens</t>
        </is>
      </c>
    </row>
    <row r="17">
      <c r="A17" s="3" t="inlineStr">
        <is>
          <t>GCP fixed cost per portal</t>
        </is>
      </c>
      <c r="B17" s="4" t="n"/>
      <c r="C17" s="4" t="n"/>
    </row>
    <row r="18">
      <c r="A18" t="inlineStr">
        <is>
          <t>fixed_portal_mo</t>
        </is>
      </c>
      <c r="B18" s="8" t="n">
        <v>0.75</v>
      </c>
      <c r="C18" s="2" t="inlineStr">
        <is>
          <t>Firestore storage, Secret Manager, idle Cloud Run — per portal/month</t>
        </is>
      </c>
    </row>
    <row r="19">
      <c r="A19" t="inlineStr">
        <is>
          <t>gcp_per_email</t>
        </is>
      </c>
      <c r="B19" s="7" t="n">
        <v>2e-06</v>
      </c>
      <c r="C19" s="2" t="inlineStr">
        <is>
          <t>Cloud Run + Cloud Tasks + Firestore ops per email (~0)</t>
        </is>
      </c>
    </row>
    <row r="21">
      <c r="A21" s="3" t="inlineStr">
        <is>
          <t>DERIVED — per-email cost</t>
        </is>
      </c>
      <c r="B21" s="4" t="n"/>
      <c r="C21" s="4" t="n"/>
    </row>
    <row r="22">
      <c r="A22" t="inlineStr">
        <is>
          <t>Claude cost / email</t>
        </is>
      </c>
      <c r="B22" s="9">
        <f>(Assumptions!$B$7*Assumptions!$B$11+Assumptions!$B$8*Assumptions!$B$12+Assumptions!$B$9*Assumptions!$B$13)</f>
        <v/>
      </c>
      <c r="C22" s="2" t="inlineStr">
        <is>
          <t>Cached read + fresh input + output</t>
        </is>
      </c>
    </row>
    <row r="23">
      <c r="A23" t="inlineStr">
        <is>
          <t>Gemini cost / email</t>
        </is>
      </c>
      <c r="B23" s="9">
        <f>((Assumptions!$B$7+Assumptions!$B$8)*Assumptions!$B$15+Assumptions!$B$9*Assumptions!$B$16)</f>
        <v/>
      </c>
      <c r="C23" s="2" t="inlineStr">
        <is>
          <t>Gemini has no separate cache tier; full input rate</t>
        </is>
      </c>
    </row>
    <row r="24">
      <c r="A24" t="inlineStr">
        <is>
          <t>Total marginal $/email (Claude + GCP)</t>
        </is>
      </c>
      <c r="B24" s="9">
        <f>Assumptions!$B$22+Assumptions!$B$19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>
      <c r="A1" s="10" t="inlineStr">
        <is>
          <t>PRICING TIERS — base + included bucket + overage</t>
        </is>
      </c>
    </row>
    <row r="3">
      <c r="A3" s="11" t="inlineStr">
        <is>
          <t>Metric</t>
        </is>
      </c>
      <c r="B3" s="11" t="inlineStr">
        <is>
          <t>Starter</t>
        </is>
      </c>
      <c r="C3" s="11" t="inlineStr">
        <is>
          <t>Growth</t>
        </is>
      </c>
      <c r="D3" s="11" t="inlineStr">
        <is>
          <t>Pro</t>
        </is>
      </c>
      <c r="E3" s="11" t="inlineStr">
        <is>
          <t>Enterprise</t>
        </is>
      </c>
    </row>
    <row r="4">
      <c r="A4" s="12" t="inlineStr">
        <is>
          <t>Base price / month</t>
        </is>
      </c>
      <c r="B4" s="8" t="n">
        <v>20</v>
      </c>
      <c r="C4" s="8" t="n">
        <v>79</v>
      </c>
      <c r="D4" s="8" t="n">
        <v>249</v>
      </c>
      <c r="E4" s="8" t="n">
        <v>750</v>
      </c>
    </row>
    <row r="5">
      <c r="A5" s="12" t="inlineStr">
        <is>
          <t>Included emails</t>
        </is>
      </c>
      <c r="B5" s="6" t="n">
        <v>100</v>
      </c>
      <c r="C5" s="6" t="n">
        <v>1000</v>
      </c>
      <c r="D5" s="6" t="n">
        <v>5000</v>
      </c>
      <c r="E5" s="6" t="n">
        <v>25000</v>
      </c>
    </row>
    <row r="6">
      <c r="A6" s="12" t="inlineStr">
        <is>
          <t>Overage $ / email</t>
        </is>
      </c>
      <c r="B6" s="13" t="n">
        <v>0.15</v>
      </c>
      <c r="C6" s="13" t="n">
        <v>0.1</v>
      </c>
      <c r="D6" s="13" t="n">
        <v>0.06</v>
      </c>
      <c r="E6" s="13" t="n">
        <v>0.035</v>
      </c>
    </row>
    <row r="7">
      <c r="A7" s="12" t="inlineStr">
        <is>
          <t>COGS at full bucket (Claude)</t>
        </is>
      </c>
      <c r="B7" s="14">
        <f>Assumptions!$B$18+B5*Assumptions!$B$24</f>
        <v/>
      </c>
      <c r="C7" s="14">
        <f>Assumptions!$B$18+C5*Assumptions!$B$24</f>
        <v/>
      </c>
      <c r="D7" s="14">
        <f>Assumptions!$B$18+D5*Assumptions!$B$24</f>
        <v/>
      </c>
      <c r="E7" s="14">
        <f>Assumptions!$B$18+E5*Assumptions!$B$24</f>
        <v/>
      </c>
    </row>
    <row r="8">
      <c r="A8" s="12" t="inlineStr">
        <is>
          <t>Gross margin $ (base, full bucket)</t>
        </is>
      </c>
      <c r="B8" s="14">
        <f>B4-B7</f>
        <v/>
      </c>
      <c r="C8" s="14">
        <f>C4-C7</f>
        <v/>
      </c>
      <c r="D8" s="14">
        <f>D4-D7</f>
        <v/>
      </c>
      <c r="E8" s="14">
        <f>E4-E7</f>
        <v/>
      </c>
    </row>
    <row r="9">
      <c r="A9" s="12" t="inlineStr">
        <is>
          <t>Gross margin % (base, full bucket)</t>
        </is>
      </c>
      <c r="B9" s="15">
        <f>IF(B4=0,0,B8/B4)</f>
        <v/>
      </c>
      <c r="C9" s="15">
        <f>IF(C4=0,0,C8/C4)</f>
        <v/>
      </c>
      <c r="D9" s="15">
        <f>IF(D4=0,0,D8/D4)</f>
        <v/>
      </c>
      <c r="E9" s="15">
        <f>IF(E4=0,0,E8/E4)</f>
        <v/>
      </c>
    </row>
    <row r="10">
      <c r="A10" s="12" t="inlineStr">
        <is>
          <t>Effective $/email at cap</t>
        </is>
      </c>
      <c r="B10" s="16">
        <f>B4/B5</f>
        <v/>
      </c>
      <c r="C10" s="16">
        <f>C4/C5</f>
        <v/>
      </c>
      <c r="D10" s="16">
        <f>D4/D5</f>
        <v/>
      </c>
      <c r="E10" s="16">
        <f>E4/E5</f>
        <v/>
      </c>
    </row>
    <row r="11">
      <c r="A11" s="12" t="inlineStr">
        <is>
          <t>Overage markup vs cost</t>
        </is>
      </c>
      <c r="B11" s="17">
        <f>B6/Assumptions!$B$24</f>
        <v/>
      </c>
      <c r="C11" s="17">
        <f>C6/Assumptions!$B$24</f>
        <v/>
      </c>
      <c r="D11" s="17">
        <f>D6/Assumptions!$B$24</f>
        <v/>
      </c>
      <c r="E11" s="17">
        <f>E6/Assumptions!$B$24</f>
        <v/>
      </c>
    </row>
    <row r="13">
      <c r="A13" s="2" t="inlineStr">
        <is>
          <t>Green = formula (recalcs from Assumptions). Yellow = editable.</t>
        </is>
      </c>
    </row>
    <row r="14">
      <c r="A14" s="2" t="inlineStr">
        <is>
          <t>Upgrade trigger: a tier is 'overflowing' once base + overages &gt; next tier's base.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0" t="inlineStr">
        <is>
          <t>PROVIDER COST SENSITIVITY — monthly AI+GCP cost by volume</t>
        </is>
      </c>
    </row>
    <row r="3">
      <c r="A3" s="11" t="inlineStr">
        <is>
          <t>Emails / month</t>
        </is>
      </c>
      <c r="B3" s="11" t="inlineStr">
        <is>
          <t>Claude cost</t>
        </is>
      </c>
      <c r="C3" s="11" t="inlineStr">
        <is>
          <t>Gemini cost</t>
        </is>
      </c>
      <c r="D3" s="11" t="inlineStr">
        <is>
          <t>Claude $/email</t>
        </is>
      </c>
      <c r="E3" s="11" t="inlineStr">
        <is>
          <t>Savings w/ Gemini</t>
        </is>
      </c>
    </row>
    <row r="4">
      <c r="A4" s="18" t="n">
        <v>100</v>
      </c>
      <c r="B4" s="14">
        <f>Assumptions!$B$18+A4*(Assumptions!$B$22+Assumptions!$B$19)</f>
        <v/>
      </c>
      <c r="C4" s="14">
        <f>Assumptions!$B$18+A4*(Assumptions!$B$23+Assumptions!$B$19)</f>
        <v/>
      </c>
      <c r="D4" s="16">
        <f>B4/A4</f>
        <v/>
      </c>
      <c r="E4" s="14">
        <f>B4-C4</f>
        <v/>
      </c>
    </row>
    <row r="5">
      <c r="A5" s="18" t="n">
        <v>1000</v>
      </c>
      <c r="B5" s="14">
        <f>Assumptions!$B$18+A5*(Assumptions!$B$22+Assumptions!$B$19)</f>
        <v/>
      </c>
      <c r="C5" s="14">
        <f>Assumptions!$B$18+A5*(Assumptions!$B$23+Assumptions!$B$19)</f>
        <v/>
      </c>
      <c r="D5" s="16">
        <f>B5/A5</f>
        <v/>
      </c>
      <c r="E5" s="14">
        <f>B5-C5</f>
        <v/>
      </c>
    </row>
    <row r="6">
      <c r="A6" s="18" t="n">
        <v>5000</v>
      </c>
      <c r="B6" s="14">
        <f>Assumptions!$B$18+A6*(Assumptions!$B$22+Assumptions!$B$19)</f>
        <v/>
      </c>
      <c r="C6" s="14">
        <f>Assumptions!$B$18+A6*(Assumptions!$B$23+Assumptions!$B$19)</f>
        <v/>
      </c>
      <c r="D6" s="16">
        <f>B6/A6</f>
        <v/>
      </c>
      <c r="E6" s="14">
        <f>B6-C6</f>
        <v/>
      </c>
    </row>
    <row r="7">
      <c r="A7" s="18" t="n">
        <v>10000</v>
      </c>
      <c r="B7" s="14">
        <f>Assumptions!$B$18+A7*(Assumptions!$B$22+Assumptions!$B$19)</f>
        <v/>
      </c>
      <c r="C7" s="14">
        <f>Assumptions!$B$18+A7*(Assumptions!$B$23+Assumptions!$B$19)</f>
        <v/>
      </c>
      <c r="D7" s="16">
        <f>B7/A7</f>
        <v/>
      </c>
      <c r="E7" s="14">
        <f>B7-C7</f>
        <v/>
      </c>
    </row>
    <row r="8">
      <c r="A8" s="18" t="n">
        <v>25000</v>
      </c>
      <c r="B8" s="14">
        <f>Assumptions!$B$18+A8*(Assumptions!$B$22+Assumptions!$B$19)</f>
        <v/>
      </c>
      <c r="C8" s="14">
        <f>Assumptions!$B$18+A8*(Assumptions!$B$23+Assumptions!$B$19)</f>
        <v/>
      </c>
      <c r="D8" s="16">
        <f>B8/A8</f>
        <v/>
      </c>
      <c r="E8" s="14">
        <f>B8-C8</f>
        <v/>
      </c>
    </row>
    <row r="9">
      <c r="A9" s="18" t="n">
        <v>100000</v>
      </c>
      <c r="B9" s="14">
        <f>Assumptions!$B$18+A9*(Assumptions!$B$22+Assumptions!$B$19)</f>
        <v/>
      </c>
      <c r="C9" s="14">
        <f>Assumptions!$B$18+A9*(Assumptions!$B$23+Assumptions!$B$19)</f>
        <v/>
      </c>
      <c r="D9" s="16">
        <f>B9/A9</f>
        <v/>
      </c>
      <c r="E9" s="14">
        <f>B9-C9</f>
        <v/>
      </c>
    </row>
    <row r="10">
      <c r="A10" s="18" t="n">
        <v>1000000</v>
      </c>
      <c r="B10" s="14">
        <f>Assumptions!$B$18+A10*(Assumptions!$B$22+Assumptions!$B$19)</f>
        <v/>
      </c>
      <c r="C10" s="14">
        <f>Assumptions!$B$18+A10*(Assumptions!$B$23+Assumptions!$B$19)</f>
        <v/>
      </c>
      <c r="D10" s="16">
        <f>B10/A10</f>
        <v/>
      </c>
      <c r="E10" s="14">
        <f>B10-C10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52" customWidth="1" min="3" max="3"/>
  </cols>
  <sheetData>
    <row r="1">
      <c r="A1" s="10" t="inlineStr">
        <is>
          <t>CUSTOMER SCENARIO CALCULATOR</t>
        </is>
      </c>
    </row>
    <row r="2">
      <c r="A2" s="2" t="inlineStr">
        <is>
          <t>Edit the yellow inputs to model one customer's monthly bill &amp; your margin.</t>
        </is>
      </c>
    </row>
    <row r="4">
      <c r="A4" s="12" t="inlineStr">
        <is>
          <t>Base price / month</t>
        </is>
      </c>
      <c r="B4" s="8" t="n">
        <v>79</v>
      </c>
      <c r="C4" s="2" t="inlineStr">
        <is>
          <t>what you charge this customer</t>
        </is>
      </c>
    </row>
    <row r="5">
      <c r="A5" s="12" t="inlineStr">
        <is>
          <t>Included emails (bucket)</t>
        </is>
      </c>
      <c r="B5" s="6" t="n">
        <v>1000</v>
      </c>
    </row>
    <row r="6">
      <c r="A6" s="12" t="inlineStr">
        <is>
          <t>Overage $ / email</t>
        </is>
      </c>
      <c r="B6" s="13" t="n">
        <v>0.1</v>
      </c>
    </row>
    <row r="7">
      <c r="A7" s="12" t="inlineStr">
        <is>
          <t>Actual emails processed</t>
        </is>
      </c>
      <c r="B7" s="6" t="n">
        <v>1500</v>
      </c>
      <c r="C7" s="2" t="inlineStr">
        <is>
          <t>their real monthly volume</t>
        </is>
      </c>
    </row>
    <row r="9">
      <c r="A9" s="12" t="inlineStr">
        <is>
          <t>Overage emails</t>
        </is>
      </c>
      <c r="B9" s="19">
        <f>MAX(0,B7-B5)</f>
        <v/>
      </c>
    </row>
    <row r="10">
      <c r="A10" s="12" t="inlineStr">
        <is>
          <t>Overage charge</t>
        </is>
      </c>
      <c r="B10" s="14">
        <f>B9*B6</f>
        <v/>
      </c>
    </row>
    <row r="11">
      <c r="A11" s="12" t="inlineStr">
        <is>
          <t>Customer pays (revenue)</t>
        </is>
      </c>
      <c r="B11" s="14">
        <f>B4+B10</f>
        <v/>
      </c>
      <c r="C11" s="2" t="inlineStr">
        <is>
          <t>base + overage</t>
        </is>
      </c>
    </row>
    <row r="12">
      <c r="A12" s="12" t="inlineStr">
        <is>
          <t>Your COGS</t>
        </is>
      </c>
      <c r="B12" s="14">
        <f>Assumptions!$B$18+B7*(Assumptions!$B$22+Assumptions!$B$19)</f>
        <v/>
      </c>
      <c r="C12" s="2" t="inlineStr">
        <is>
          <t>fixed + Claude+GCP per actual email</t>
        </is>
      </c>
    </row>
    <row r="13">
      <c r="A13" s="12" t="inlineStr">
        <is>
          <t>Gross profit</t>
        </is>
      </c>
      <c r="B13" s="14">
        <f>B11-B12</f>
        <v/>
      </c>
    </row>
    <row r="14">
      <c r="A14" s="12" t="inlineStr">
        <is>
          <t>Gross margin %</t>
        </is>
      </c>
      <c r="B14" s="15">
        <f>IF(B11=0,0,B13/B11)</f>
        <v/>
      </c>
    </row>
    <row r="15">
      <c r="A15" s="12" t="inlineStr">
        <is>
          <t>Profit if run on Gemini</t>
        </is>
      </c>
      <c r="B15" s="14">
        <f>B11-(Assumptions!$B$18+B7*(Assumptions!$B$23+Assumptions!$B$19))</f>
        <v/>
      </c>
      <c r="C15" s="2" t="inlineStr">
        <is>
          <t>same price, cheaper provider</t>
        </is>
      </c>
    </row>
    <row r="17">
      <c r="A17" s="2" t="inlineStr">
        <is>
          <t>Tip: copy the Customer Scenario block per real client to build a portfolio 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2026-06-11T02:45:13Z</dcterms:created>
  <dcterms:modified xsi:type="dcterms:W3CDTF">2026-06-11T02:45:13Z</dcterms:modified>
</cp:coreProperties>
</file>